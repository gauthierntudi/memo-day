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IMRAN\Desktop\"/>
    </mc:Choice>
  </mc:AlternateContent>
  <xr:revisionPtr revIDLastSave="0" documentId="13_ncr:1_{75CCCB0D-4556-4AC0-A462-F9279DCE1913}" xr6:coauthVersionLast="47" xr6:coauthVersionMax="47" xr10:uidLastSave="{00000000-0000-0000-0000-000000000000}"/>
  <bookViews>
    <workbookView xWindow="-28920" yWindow="-825" windowWidth="29040" windowHeight="15720" xr2:uid="{00000000-000D-0000-FFFF-FFFF00000000}"/>
  </bookViews>
  <sheets>
    <sheet name="20-2-26" sheetId="2" r:id="rId1"/>
    <sheet name="Data Bank" sheetId="3" r:id="rId2"/>
  </sheets>
  <definedNames>
    <definedName name="_xlnm.Print_Area" localSheetId="0">'20-2-26'!$B$1:$N$27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2" l="1"/>
  <c r="B32" i="2"/>
  <c r="J8" i="2"/>
  <c r="K8" i="2"/>
  <c r="M9" i="2"/>
  <c r="K13" i="2"/>
  <c r="J13" i="2"/>
  <c r="M18" i="2"/>
  <c r="M10" i="2"/>
  <c r="M11" i="2"/>
  <c r="M12" i="2"/>
  <c r="M14" i="2"/>
  <c r="M15" i="2"/>
  <c r="M16" i="2"/>
  <c r="M17" i="2"/>
  <c r="B9" i="2"/>
  <c r="B10" i="2" s="1"/>
  <c r="B11" i="2" s="1"/>
  <c r="B12" i="2" s="1"/>
  <c r="B13" i="2" s="1"/>
  <c r="B14" i="2" s="1"/>
  <c r="B15" i="2" s="1"/>
  <c r="B16" i="2" s="1"/>
  <c r="B17" i="2" s="1"/>
  <c r="B18" i="2" s="1"/>
  <c r="M8" i="2" l="1"/>
  <c r="M13" i="2"/>
</calcChain>
</file>

<file path=xl/sharedStrings.xml><?xml version="1.0" encoding="utf-8"?>
<sst xmlns="http://schemas.openxmlformats.org/spreadsheetml/2006/main" count="158" uniqueCount="117">
  <si>
    <t>Date:</t>
  </si>
  <si>
    <t>Approved By:</t>
  </si>
  <si>
    <t>Activity Type</t>
  </si>
  <si>
    <t xml:space="preserve">PROJECT NAME: </t>
  </si>
  <si>
    <t xml:space="preserve">Prepared By: </t>
  </si>
  <si>
    <t>Activity Name</t>
  </si>
  <si>
    <t>Daily Progress Report</t>
  </si>
  <si>
    <t>Sr.No</t>
  </si>
  <si>
    <t>Total Quantity</t>
  </si>
  <si>
    <t>Variance %</t>
  </si>
  <si>
    <t>Comments/ Constraints</t>
  </si>
  <si>
    <t>Direct Staff</t>
  </si>
  <si>
    <t>Project Manager</t>
  </si>
  <si>
    <t>Construction Manager</t>
  </si>
  <si>
    <t>Labour Force Category</t>
  </si>
  <si>
    <t>Attendance</t>
  </si>
  <si>
    <t>No.</t>
  </si>
  <si>
    <t xml:space="preserve">Slab Concreting </t>
  </si>
  <si>
    <t>Indoor Units Installation</t>
  </si>
  <si>
    <r>
      <t xml:space="preserve">Duct Installation </t>
    </r>
    <r>
      <rPr>
        <i/>
        <sz val="10"/>
        <color theme="1"/>
        <rFont val="Trebuchet MS"/>
        <family val="2"/>
      </rPr>
      <t>(Fresh Air &amp; Exhaust)</t>
    </r>
  </si>
  <si>
    <t>HVAC</t>
  </si>
  <si>
    <t>Copper Pipe Installation</t>
  </si>
  <si>
    <t>PPR Pipe Installation</t>
  </si>
  <si>
    <t xml:space="preserve">Floor </t>
  </si>
  <si>
    <t>Forecast Completion Date</t>
  </si>
  <si>
    <t>Sr. No</t>
  </si>
  <si>
    <t>CIV</t>
  </si>
  <si>
    <t>PL</t>
  </si>
  <si>
    <t>UOM</t>
  </si>
  <si>
    <t>Column Steel Fixing</t>
  </si>
  <si>
    <t>Column Formwork Fixing</t>
  </si>
  <si>
    <t>Shear Wall Steel Fixing</t>
  </si>
  <si>
    <t>Shear Wall Formwork</t>
  </si>
  <si>
    <t>Shear Wall Concrete</t>
  </si>
  <si>
    <t>Column Concrete</t>
  </si>
  <si>
    <t>Slab Formwork</t>
  </si>
  <si>
    <t>Slab Reinforcement</t>
  </si>
  <si>
    <t>Slab Concrete</t>
  </si>
  <si>
    <t>PVC/UPVC Drainage Pipe Installation</t>
  </si>
  <si>
    <t>HDPE Pipe Installation</t>
  </si>
  <si>
    <t>Block Masonry</t>
  </si>
  <si>
    <t>Internal Plaster</t>
  </si>
  <si>
    <t>Duct Insulation</t>
  </si>
  <si>
    <t>Copper Pipe Insulation</t>
  </si>
  <si>
    <t>OVAL Duct/Circular Duct</t>
  </si>
  <si>
    <t>Ventilation Fans</t>
  </si>
  <si>
    <t>FF Pipe Installation</t>
  </si>
  <si>
    <t>Screed</t>
  </si>
  <si>
    <t>Floor &amp; Wall Conduiting</t>
  </si>
  <si>
    <t>Cable Tray</t>
  </si>
  <si>
    <t>CDR Pipe</t>
  </si>
  <si>
    <t>Façade Frame</t>
  </si>
  <si>
    <t>Façade Glass</t>
  </si>
  <si>
    <t>Ceiling Framing</t>
  </si>
  <si>
    <t>Ceiling Installation</t>
  </si>
  <si>
    <t>Wall &amp; Floor Tiling</t>
  </si>
  <si>
    <t>Doors</t>
  </si>
  <si>
    <t>Paint</t>
  </si>
  <si>
    <t>Duct Installation (Supply &amp; Return)</t>
  </si>
  <si>
    <t>Duct Installation (Fresh &amp; Exhaust)</t>
  </si>
  <si>
    <t>Activity Data Bank</t>
  </si>
  <si>
    <t>M²</t>
  </si>
  <si>
    <t>Ton</t>
  </si>
  <si>
    <t>M³</t>
  </si>
  <si>
    <t>LM</t>
  </si>
  <si>
    <t>CODE</t>
  </si>
  <si>
    <t>ELE</t>
  </si>
  <si>
    <t>FF</t>
  </si>
  <si>
    <t>FIN</t>
  </si>
  <si>
    <t>GW</t>
  </si>
  <si>
    <t>Civil</t>
  </si>
  <si>
    <t>Electrical</t>
  </si>
  <si>
    <t>HVAC Works</t>
  </si>
  <si>
    <t>Plumbing</t>
  </si>
  <si>
    <t>Firefighting</t>
  </si>
  <si>
    <t>Finishing</t>
  </si>
  <si>
    <t>Grey Works</t>
  </si>
  <si>
    <t>External Plaster</t>
  </si>
  <si>
    <t>Weather Conditons</t>
  </si>
  <si>
    <t>Temperature</t>
  </si>
  <si>
    <t>Weather</t>
  </si>
  <si>
    <t>Sunny</t>
  </si>
  <si>
    <t>Cloudy</t>
  </si>
  <si>
    <t>Rainy</t>
  </si>
  <si>
    <t>Project</t>
  </si>
  <si>
    <t>Shamsar</t>
  </si>
  <si>
    <t>PET Clinic</t>
  </si>
  <si>
    <t>Angel Cosmetics</t>
  </si>
  <si>
    <t xml:space="preserve">RAWSUR </t>
  </si>
  <si>
    <t>RAW BANK Polygone</t>
  </si>
  <si>
    <t>Labor Force</t>
  </si>
  <si>
    <t>Steel Fixer</t>
  </si>
  <si>
    <t>Carpenter</t>
  </si>
  <si>
    <t>General Labor</t>
  </si>
  <si>
    <t>Tiler</t>
  </si>
  <si>
    <t>Ceiling Worker</t>
  </si>
  <si>
    <t>Plumber</t>
  </si>
  <si>
    <t>HVAC Technician</t>
  </si>
  <si>
    <t>Wood Worker</t>
  </si>
  <si>
    <t>Painter</t>
  </si>
  <si>
    <t>Site Staff</t>
  </si>
  <si>
    <t>Site Engineer</t>
  </si>
  <si>
    <t>Site Supervisor</t>
  </si>
  <si>
    <t>Site Forman</t>
  </si>
  <si>
    <t>MEP Engineer</t>
  </si>
  <si>
    <t>MEP Technician</t>
  </si>
  <si>
    <t>Status</t>
  </si>
  <si>
    <t>Equipment Deployed</t>
  </si>
  <si>
    <t>STATUS</t>
  </si>
  <si>
    <t>Rental</t>
  </si>
  <si>
    <t>Parkland</t>
  </si>
  <si>
    <t>Storekeeper</t>
  </si>
  <si>
    <r>
      <t xml:space="preserve">Achieved Quantity </t>
    </r>
    <r>
      <rPr>
        <b/>
        <i/>
        <sz val="10"/>
        <color theme="1"/>
        <rFont val="Trebuchet MS"/>
        <family val="2"/>
      </rPr>
      <t>(Till previous day)</t>
    </r>
  </si>
  <si>
    <r>
      <t xml:space="preserve">Acheieved Quantity </t>
    </r>
    <r>
      <rPr>
        <b/>
        <i/>
        <sz val="10"/>
        <color theme="1"/>
        <rFont val="Trebuchet MS"/>
        <family val="2"/>
      </rPr>
      <t>(Till Today)</t>
    </r>
  </si>
  <si>
    <r>
      <t xml:space="preserve">Activity % </t>
    </r>
    <r>
      <rPr>
        <b/>
        <i/>
        <sz val="10"/>
        <color theme="1"/>
        <rFont val="Trebuchet MS"/>
        <family val="2"/>
      </rPr>
      <t>as of previous day</t>
    </r>
  </si>
  <si>
    <r>
      <t>Activity %</t>
    </r>
    <r>
      <rPr>
        <b/>
        <i/>
        <sz val="10"/>
        <color theme="1"/>
        <rFont val="Trebuchet MS"/>
        <family val="2"/>
      </rPr>
      <t xml:space="preserve"> As of Today</t>
    </r>
  </si>
  <si>
    <t>PROJECT MANAGER's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</si>
</sst>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dd\-mmm\-yyyy;@" x16r2:formatCode16="[$-en-PK,1]dd\-mmm\-yy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rebuchet MS"/>
      <family val="2"/>
    </font>
    <font>
      <b/>
      <sz val="12"/>
      <color theme="1"/>
      <name val="Trebuchet MS"/>
      <family val="2"/>
    </font>
    <font>
      <b/>
      <sz val="11"/>
      <color theme="1"/>
      <name val="Trebuchet MS"/>
      <family val="2"/>
    </font>
    <font>
      <i/>
      <sz val="10"/>
      <color theme="1"/>
      <name val="Trebuchet MS"/>
      <family val="2"/>
    </font>
    <font>
      <b/>
      <sz val="11"/>
      <color theme="1"/>
      <name val="Calibri"/>
      <family val="2"/>
      <scheme val="minor"/>
    </font>
    <font>
      <b/>
      <i/>
      <sz val="10"/>
      <color theme="1"/>
      <name val="Trebuchet MS"/>
      <family val="2"/>
    </font>
    <font>
      <b/>
      <sz val="18"/>
      <color theme="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7" xfId="0" applyFont="1" applyBorder="1"/>
    <xf numFmtId="1" fontId="2" fillId="0" borderId="6" xfId="0" applyNumberFormat="1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0" fontId="2" fillId="0" borderId="2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9" fontId="2" fillId="0" borderId="1" xfId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0" borderId="14" xfId="0" applyFont="1" applyBorder="1" applyAlignment="1">
      <alignment horizontal="left"/>
    </xf>
    <xf numFmtId="0" fontId="4" fillId="0" borderId="16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4" xfId="0" applyFont="1" applyBorder="1" applyAlignment="1">
      <alignment horizontal="left" vertical="center"/>
    </xf>
    <xf numFmtId="0" fontId="2" fillId="0" borderId="21" xfId="0" applyFont="1" applyBorder="1" applyAlignment="1">
      <alignment horizontal="left"/>
    </xf>
    <xf numFmtId="0" fontId="2" fillId="0" borderId="25" xfId="0" applyFont="1" applyBorder="1" applyAlignment="1">
      <alignment horizontal="center"/>
    </xf>
    <xf numFmtId="0" fontId="4" fillId="3" borderId="20" xfId="0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 wrapText="1"/>
    </xf>
    <xf numFmtId="0" fontId="4" fillId="3" borderId="2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30" xfId="0" applyFont="1" applyFill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4" fillId="3" borderId="3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4" fillId="3" borderId="34" xfId="0" applyFont="1" applyFill="1" applyBorder="1" applyAlignment="1">
      <alignment horizontal="center" vertical="center"/>
    </xf>
    <xf numFmtId="0" fontId="4" fillId="3" borderId="3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33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" fontId="2" fillId="0" borderId="23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/>
    </xf>
    <xf numFmtId="0" fontId="2" fillId="0" borderId="24" xfId="0" applyFont="1" applyBorder="1" applyAlignment="1">
      <alignment vertical="center"/>
    </xf>
    <xf numFmtId="9" fontId="2" fillId="0" borderId="24" xfId="1" applyFont="1" applyBorder="1" applyAlignment="1">
      <alignment vertical="center"/>
    </xf>
    <xf numFmtId="9" fontId="2" fillId="0" borderId="24" xfId="1" applyFont="1" applyBorder="1" applyAlignment="1">
      <alignment horizontal="center" vertical="center"/>
    </xf>
    <xf numFmtId="0" fontId="2" fillId="0" borderId="25" xfId="0" applyFont="1" applyBorder="1"/>
    <xf numFmtId="0" fontId="0" fillId="0" borderId="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9" xfId="0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DFDA7-50D1-492B-849E-98ADE8188744}">
  <sheetPr>
    <pageSetUpPr fitToPage="1"/>
  </sheetPr>
  <dimension ref="B1:N33"/>
  <sheetViews>
    <sheetView tabSelected="1" zoomScaleNormal="100" workbookViewId="0">
      <pane xSplit="1" ySplit="7" topLeftCell="B8" activePane="bottomRight" state="frozen"/>
      <selection pane="topRight" activeCell="B1" sqref="B1"/>
      <selection pane="bottomLeft" activeCell="A10" sqref="A10"/>
      <selection pane="bottomRight" activeCell="E10" sqref="E10"/>
    </sheetView>
  </sheetViews>
  <sheetFormatPr defaultRowHeight="14.4" x14ac:dyDescent="0.3"/>
  <cols>
    <col min="1" max="1" width="0.77734375" customWidth="1"/>
    <col min="2" max="2" width="5.21875" customWidth="1"/>
    <col min="3" max="3" width="9.109375" customWidth="1"/>
    <col min="4" max="4" width="33.21875" customWidth="1"/>
    <col min="5" max="5" width="9.5546875" customWidth="1"/>
    <col min="6" max="6" width="7.33203125" customWidth="1"/>
    <col min="7" max="7" width="9.6640625" customWidth="1"/>
    <col min="8" max="8" width="14" customWidth="1"/>
    <col min="9" max="9" width="12.33203125" customWidth="1"/>
    <col min="10" max="10" width="10.5546875" customWidth="1"/>
    <col min="11" max="11" width="12.6640625" customWidth="1"/>
    <col min="12" max="12" width="13.21875" customWidth="1"/>
    <col min="13" max="13" width="9.44140625" customWidth="1"/>
    <col min="14" max="14" width="18.21875" customWidth="1"/>
    <col min="15" max="15" width="0.5546875" customWidth="1"/>
  </cols>
  <sheetData>
    <row r="1" spans="2:14" ht="22.2" customHeight="1" x14ac:dyDescent="0.3">
      <c r="B1" s="98" t="s">
        <v>6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100"/>
    </row>
    <row r="2" spans="2:14" ht="28.05" customHeight="1" thickBot="1" x14ac:dyDescent="0.35">
      <c r="B2" s="101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3"/>
    </row>
    <row r="3" spans="2:14" ht="19.95" customHeight="1" thickBot="1" x14ac:dyDescent="0.4">
      <c r="B3" s="30" t="s">
        <v>3</v>
      </c>
      <c r="C3" s="31"/>
      <c r="D3" s="32"/>
      <c r="E3" s="15"/>
      <c r="F3" s="16"/>
      <c r="G3" s="16"/>
      <c r="H3" s="16"/>
      <c r="I3" s="16"/>
      <c r="J3" s="16"/>
      <c r="K3" s="17"/>
      <c r="L3" s="26" t="s">
        <v>0</v>
      </c>
      <c r="M3" s="27"/>
      <c r="N3" s="13"/>
    </row>
    <row r="4" spans="2:14" ht="19.95" customHeight="1" thickBot="1" x14ac:dyDescent="0.4">
      <c r="B4" s="30" t="s">
        <v>4</v>
      </c>
      <c r="C4" s="31"/>
      <c r="D4" s="32"/>
      <c r="E4" s="15"/>
      <c r="F4" s="16"/>
      <c r="G4" s="16"/>
      <c r="H4" s="16"/>
      <c r="I4" s="16"/>
      <c r="J4" s="16"/>
      <c r="K4" s="17"/>
      <c r="L4" s="28" t="s">
        <v>78</v>
      </c>
      <c r="M4" s="29"/>
      <c r="N4" s="5"/>
    </row>
    <row r="5" spans="2:14" ht="19.95" customHeight="1" thickBot="1" x14ac:dyDescent="0.4">
      <c r="B5" s="30" t="s">
        <v>1</v>
      </c>
      <c r="C5" s="31"/>
      <c r="D5" s="32"/>
      <c r="E5" s="15"/>
      <c r="F5" s="16"/>
      <c r="G5" s="16"/>
      <c r="H5" s="16"/>
      <c r="I5" s="16"/>
      <c r="J5" s="16"/>
      <c r="K5" s="17"/>
      <c r="L5" s="26" t="s">
        <v>79</v>
      </c>
      <c r="M5" s="27"/>
      <c r="N5" s="33"/>
    </row>
    <row r="6" spans="2:14" ht="33" customHeight="1" x14ac:dyDescent="0.3">
      <c r="B6" s="70" t="s">
        <v>25</v>
      </c>
      <c r="C6" s="71" t="s">
        <v>23</v>
      </c>
      <c r="D6" s="72" t="s">
        <v>5</v>
      </c>
      <c r="E6" s="72" t="s">
        <v>2</v>
      </c>
      <c r="F6" s="72" t="s">
        <v>28</v>
      </c>
      <c r="G6" s="72" t="s">
        <v>8</v>
      </c>
      <c r="H6" s="72" t="s">
        <v>112</v>
      </c>
      <c r="I6" s="71" t="s">
        <v>113</v>
      </c>
      <c r="J6" s="72" t="s">
        <v>114</v>
      </c>
      <c r="K6" s="72" t="s">
        <v>115</v>
      </c>
      <c r="L6" s="71" t="s">
        <v>24</v>
      </c>
      <c r="M6" s="72" t="s">
        <v>9</v>
      </c>
      <c r="N6" s="73" t="s">
        <v>10</v>
      </c>
    </row>
    <row r="7" spans="2:14" ht="32.4" customHeight="1" x14ac:dyDescent="0.3">
      <c r="B7" s="74"/>
      <c r="C7" s="72"/>
      <c r="D7" s="75"/>
      <c r="E7" s="75"/>
      <c r="F7" s="75"/>
      <c r="G7" s="75"/>
      <c r="H7" s="75"/>
      <c r="I7" s="72"/>
      <c r="J7" s="75"/>
      <c r="K7" s="75"/>
      <c r="L7" s="72"/>
      <c r="M7" s="75"/>
      <c r="N7" s="76"/>
    </row>
    <row r="8" spans="2:14" ht="28.05" customHeight="1" x14ac:dyDescent="0.3">
      <c r="B8" s="4">
        <v>1</v>
      </c>
      <c r="C8" s="79"/>
      <c r="D8" s="1" t="s">
        <v>29</v>
      </c>
      <c r="E8" s="1" t="s">
        <v>26</v>
      </c>
      <c r="F8" s="1" t="s">
        <v>16</v>
      </c>
      <c r="G8" s="1">
        <v>10</v>
      </c>
      <c r="H8" s="10">
        <v>8</v>
      </c>
      <c r="I8" s="10">
        <v>9</v>
      </c>
      <c r="J8" s="12">
        <f>H8/G8</f>
        <v>0.8</v>
      </c>
      <c r="K8" s="12">
        <f>I8/G8</f>
        <v>0.9</v>
      </c>
      <c r="L8" s="12"/>
      <c r="M8" s="12">
        <f>K8-J8</f>
        <v>9.9999999999999978E-2</v>
      </c>
      <c r="N8" s="11"/>
    </row>
    <row r="9" spans="2:14" ht="28.05" customHeight="1" x14ac:dyDescent="0.3">
      <c r="B9" s="4">
        <f>B8+1</f>
        <v>2</v>
      </c>
      <c r="C9" s="79"/>
      <c r="D9" s="1" t="s">
        <v>30</v>
      </c>
      <c r="E9" s="1" t="s">
        <v>26</v>
      </c>
      <c r="F9" s="1" t="s">
        <v>16</v>
      </c>
      <c r="G9" s="1"/>
      <c r="H9" s="10"/>
      <c r="I9" s="10"/>
      <c r="J9" s="12"/>
      <c r="K9" s="12"/>
      <c r="L9" s="12"/>
      <c r="M9" s="12">
        <f>K9-J9</f>
        <v>0</v>
      </c>
      <c r="N9" s="3"/>
    </row>
    <row r="10" spans="2:14" ht="28.05" customHeight="1" x14ac:dyDescent="0.3">
      <c r="B10" s="4">
        <f t="shared" ref="B10:B18" si="0">B9+1</f>
        <v>3</v>
      </c>
      <c r="C10" s="79"/>
      <c r="D10" s="10" t="s">
        <v>40</v>
      </c>
      <c r="E10" s="1" t="s">
        <v>69</v>
      </c>
      <c r="F10" s="2" t="s">
        <v>61</v>
      </c>
      <c r="G10" s="10"/>
      <c r="H10" s="10"/>
      <c r="I10" s="10"/>
      <c r="J10" s="12"/>
      <c r="K10" s="12"/>
      <c r="L10" s="12"/>
      <c r="M10" s="12">
        <f t="shared" ref="M10:M18" si="1">K10-J10</f>
        <v>0</v>
      </c>
      <c r="N10" s="3"/>
    </row>
    <row r="11" spans="2:14" ht="28.05" customHeight="1" x14ac:dyDescent="0.3">
      <c r="B11" s="4">
        <f t="shared" si="0"/>
        <v>4</v>
      </c>
      <c r="C11" s="79"/>
      <c r="D11" s="10" t="s">
        <v>17</v>
      </c>
      <c r="E11" s="1" t="s">
        <v>26</v>
      </c>
      <c r="F11" s="2" t="s">
        <v>63</v>
      </c>
      <c r="G11" s="10"/>
      <c r="H11" s="10"/>
      <c r="I11" s="10"/>
      <c r="J11" s="12"/>
      <c r="K11" s="12"/>
      <c r="L11" s="12"/>
      <c r="M11" s="12">
        <f t="shared" si="1"/>
        <v>0</v>
      </c>
      <c r="N11" s="3"/>
    </row>
    <row r="12" spans="2:14" ht="28.05" customHeight="1" x14ac:dyDescent="0.3">
      <c r="B12" s="4">
        <f t="shared" si="0"/>
        <v>5</v>
      </c>
      <c r="C12" s="79"/>
      <c r="D12" s="10" t="s">
        <v>18</v>
      </c>
      <c r="E12" s="10" t="s">
        <v>20</v>
      </c>
      <c r="F12" s="2" t="s">
        <v>16</v>
      </c>
      <c r="G12" s="10"/>
      <c r="H12" s="10"/>
      <c r="I12" s="10"/>
      <c r="J12" s="12"/>
      <c r="K12" s="12"/>
      <c r="L12" s="12"/>
      <c r="M12" s="12">
        <f t="shared" si="1"/>
        <v>0</v>
      </c>
      <c r="N12" s="3"/>
    </row>
    <row r="13" spans="2:14" ht="28.05" customHeight="1" x14ac:dyDescent="0.3">
      <c r="B13" s="4">
        <f t="shared" si="0"/>
        <v>6</v>
      </c>
      <c r="C13" s="79"/>
      <c r="D13" s="1" t="s">
        <v>19</v>
      </c>
      <c r="E13" s="10" t="s">
        <v>20</v>
      </c>
      <c r="F13" s="2" t="s">
        <v>61</v>
      </c>
      <c r="G13" s="10">
        <v>100</v>
      </c>
      <c r="H13" s="10">
        <v>65</v>
      </c>
      <c r="I13" s="10">
        <v>70</v>
      </c>
      <c r="J13" s="12">
        <f>H13/G13</f>
        <v>0.65</v>
      </c>
      <c r="K13" s="12">
        <f>I13/G13</f>
        <v>0.7</v>
      </c>
      <c r="L13" s="12"/>
      <c r="M13" s="12">
        <f t="shared" si="1"/>
        <v>4.9999999999999933E-2</v>
      </c>
      <c r="N13" s="3"/>
    </row>
    <row r="14" spans="2:14" ht="28.05" customHeight="1" x14ac:dyDescent="0.3">
      <c r="B14" s="4">
        <f t="shared" si="0"/>
        <v>7</v>
      </c>
      <c r="C14" s="79"/>
      <c r="D14" s="1" t="s">
        <v>21</v>
      </c>
      <c r="E14" s="10" t="s">
        <v>20</v>
      </c>
      <c r="F14" s="2" t="s">
        <v>64</v>
      </c>
      <c r="G14" s="10"/>
      <c r="H14" s="10"/>
      <c r="I14" s="10"/>
      <c r="J14" s="12"/>
      <c r="K14" s="12"/>
      <c r="L14" s="12"/>
      <c r="M14" s="12">
        <f t="shared" si="1"/>
        <v>0</v>
      </c>
      <c r="N14" s="3"/>
    </row>
    <row r="15" spans="2:14" ht="28.05" customHeight="1" x14ac:dyDescent="0.3">
      <c r="B15" s="4">
        <f t="shared" si="0"/>
        <v>8</v>
      </c>
      <c r="C15" s="79"/>
      <c r="D15" s="10" t="s">
        <v>22</v>
      </c>
      <c r="E15" s="10" t="s">
        <v>27</v>
      </c>
      <c r="F15" s="2" t="s">
        <v>64</v>
      </c>
      <c r="G15" s="10"/>
      <c r="H15" s="10"/>
      <c r="I15" s="10"/>
      <c r="J15" s="12"/>
      <c r="K15" s="12"/>
      <c r="L15" s="12"/>
      <c r="M15" s="12">
        <f t="shared" si="1"/>
        <v>0</v>
      </c>
      <c r="N15" s="3"/>
    </row>
    <row r="16" spans="2:14" ht="28.05" customHeight="1" x14ac:dyDescent="0.3">
      <c r="B16" s="4">
        <f t="shared" si="0"/>
        <v>9</v>
      </c>
      <c r="C16" s="79"/>
      <c r="D16" s="10"/>
      <c r="E16" s="2"/>
      <c r="F16" s="2"/>
      <c r="G16" s="10"/>
      <c r="H16" s="10"/>
      <c r="I16" s="10"/>
      <c r="J16" s="12"/>
      <c r="K16" s="12"/>
      <c r="L16" s="12"/>
      <c r="M16" s="12">
        <f t="shared" si="1"/>
        <v>0</v>
      </c>
      <c r="N16" s="3"/>
    </row>
    <row r="17" spans="2:14" ht="28.05" customHeight="1" x14ac:dyDescent="0.3">
      <c r="B17" s="4">
        <f t="shared" si="0"/>
        <v>10</v>
      </c>
      <c r="C17" s="79"/>
      <c r="D17" s="10"/>
      <c r="E17" s="2"/>
      <c r="F17" s="2"/>
      <c r="G17" s="10"/>
      <c r="H17" s="10"/>
      <c r="I17" s="10"/>
      <c r="J17" s="12"/>
      <c r="K17" s="12"/>
      <c r="L17" s="12"/>
      <c r="M17" s="12">
        <f t="shared" si="1"/>
        <v>0</v>
      </c>
      <c r="N17" s="3"/>
    </row>
    <row r="18" spans="2:14" ht="28.05" customHeight="1" thickBot="1" x14ac:dyDescent="0.35">
      <c r="B18" s="80">
        <f t="shared" si="0"/>
        <v>11</v>
      </c>
      <c r="C18" s="81"/>
      <c r="D18" s="82"/>
      <c r="E18" s="21"/>
      <c r="F18" s="21"/>
      <c r="G18" s="83"/>
      <c r="H18" s="83"/>
      <c r="I18" s="83"/>
      <c r="J18" s="84"/>
      <c r="K18" s="84"/>
      <c r="L18" s="84"/>
      <c r="M18" s="85">
        <f t="shared" si="1"/>
        <v>0</v>
      </c>
      <c r="N18" s="86"/>
    </row>
    <row r="19" spans="2:14" ht="28.8" customHeight="1" x14ac:dyDescent="0.3">
      <c r="B19" s="46" t="s">
        <v>25</v>
      </c>
      <c r="C19" s="47" t="s">
        <v>11</v>
      </c>
      <c r="D19" s="48"/>
      <c r="E19" s="47" t="s">
        <v>15</v>
      </c>
      <c r="F19" s="68"/>
      <c r="G19" s="66" t="s">
        <v>7</v>
      </c>
      <c r="H19" s="52" t="s">
        <v>14</v>
      </c>
      <c r="I19" s="53"/>
      <c r="J19" s="54"/>
      <c r="K19" s="55" t="s">
        <v>15</v>
      </c>
      <c r="L19" s="55"/>
      <c r="M19" s="56" t="s">
        <v>10</v>
      </c>
      <c r="N19" s="57"/>
    </row>
    <row r="20" spans="2:14" ht="15" thickBot="1" x14ac:dyDescent="0.35">
      <c r="B20" s="49"/>
      <c r="C20" s="50"/>
      <c r="D20" s="51"/>
      <c r="E20" s="50"/>
      <c r="F20" s="69"/>
      <c r="G20" s="67"/>
      <c r="H20" s="58"/>
      <c r="I20" s="59"/>
      <c r="J20" s="60"/>
      <c r="K20" s="61"/>
      <c r="L20" s="61"/>
      <c r="M20" s="62"/>
      <c r="N20" s="63"/>
    </row>
    <row r="21" spans="2:14" x14ac:dyDescent="0.3">
      <c r="B21" s="6">
        <v>1</v>
      </c>
      <c r="C21" s="37" t="s">
        <v>12</v>
      </c>
      <c r="D21" s="37"/>
      <c r="E21" s="35"/>
      <c r="F21" s="36"/>
      <c r="G21" s="34">
        <v>1</v>
      </c>
      <c r="H21" s="44" t="s">
        <v>91</v>
      </c>
      <c r="I21" s="44"/>
      <c r="J21" s="44"/>
      <c r="K21" s="35"/>
      <c r="L21" s="35"/>
      <c r="M21" s="35"/>
      <c r="N21" s="36"/>
    </row>
    <row r="22" spans="2:14" x14ac:dyDescent="0.3">
      <c r="B22" s="7">
        <v>2</v>
      </c>
      <c r="C22" s="38" t="s">
        <v>13</v>
      </c>
      <c r="D22" s="38"/>
      <c r="E22" s="20"/>
      <c r="F22" s="23"/>
      <c r="G22" s="8">
        <v>2</v>
      </c>
      <c r="H22" s="14" t="s">
        <v>93</v>
      </c>
      <c r="I22" s="14"/>
      <c r="J22" s="14"/>
      <c r="K22" s="20"/>
      <c r="L22" s="20"/>
      <c r="M22" s="20"/>
      <c r="N22" s="23"/>
    </row>
    <row r="23" spans="2:14" x14ac:dyDescent="0.3">
      <c r="B23" s="7">
        <v>3</v>
      </c>
      <c r="C23" s="38" t="s">
        <v>102</v>
      </c>
      <c r="D23" s="38"/>
      <c r="E23" s="20"/>
      <c r="F23" s="23"/>
      <c r="G23" s="8">
        <v>3</v>
      </c>
      <c r="H23" s="14" t="s">
        <v>92</v>
      </c>
      <c r="I23" s="14"/>
      <c r="J23" s="14"/>
      <c r="K23" s="20"/>
      <c r="L23" s="20"/>
      <c r="M23" s="20"/>
      <c r="N23" s="23"/>
    </row>
    <row r="24" spans="2:14" x14ac:dyDescent="0.3">
      <c r="B24" s="8">
        <v>4</v>
      </c>
      <c r="C24" s="14" t="s">
        <v>104</v>
      </c>
      <c r="D24" s="14"/>
      <c r="E24" s="20"/>
      <c r="F24" s="23"/>
      <c r="G24" s="8">
        <v>4</v>
      </c>
      <c r="H24" s="14" t="s">
        <v>95</v>
      </c>
      <c r="I24" s="14"/>
      <c r="J24" s="14"/>
      <c r="K24" s="20"/>
      <c r="L24" s="20"/>
      <c r="M24" s="20"/>
      <c r="N24" s="23"/>
    </row>
    <row r="25" spans="2:14" x14ac:dyDescent="0.3">
      <c r="B25" s="8">
        <v>5</v>
      </c>
      <c r="C25" s="14" t="s">
        <v>105</v>
      </c>
      <c r="D25" s="14"/>
      <c r="E25" s="20"/>
      <c r="F25" s="23"/>
      <c r="G25" s="8">
        <v>5</v>
      </c>
      <c r="H25" s="14" t="s">
        <v>96</v>
      </c>
      <c r="I25" s="14"/>
      <c r="J25" s="14"/>
      <c r="K25" s="20"/>
      <c r="L25" s="20"/>
      <c r="M25" s="20"/>
      <c r="N25" s="23"/>
    </row>
    <row r="26" spans="2:14" ht="19.95" customHeight="1" x14ac:dyDescent="0.3">
      <c r="B26" s="39">
        <v>6</v>
      </c>
      <c r="C26" s="40" t="s">
        <v>101</v>
      </c>
      <c r="D26" s="40"/>
      <c r="E26" s="41"/>
      <c r="F26" s="42"/>
      <c r="G26" s="39">
        <v>6</v>
      </c>
      <c r="H26" s="14" t="s">
        <v>92</v>
      </c>
      <c r="I26" s="14"/>
      <c r="J26" s="14"/>
      <c r="K26" s="41"/>
      <c r="L26" s="41"/>
      <c r="M26" s="41"/>
      <c r="N26" s="42"/>
    </row>
    <row r="27" spans="2:14" ht="24.6" customHeight="1" thickBot="1" x14ac:dyDescent="0.35">
      <c r="B27" s="9">
        <v>7</v>
      </c>
      <c r="C27" s="43" t="s">
        <v>111</v>
      </c>
      <c r="D27" s="43"/>
      <c r="E27" s="24"/>
      <c r="F27" s="25"/>
      <c r="G27" s="9">
        <v>7</v>
      </c>
      <c r="H27" s="43" t="s">
        <v>96</v>
      </c>
      <c r="I27" s="43"/>
      <c r="J27" s="43"/>
      <c r="K27" s="24"/>
      <c r="L27" s="24"/>
      <c r="M27" s="24"/>
      <c r="N27" s="25"/>
    </row>
    <row r="28" spans="2:14" x14ac:dyDescent="0.3">
      <c r="B28" s="46" t="s">
        <v>25</v>
      </c>
      <c r="C28" s="47" t="s">
        <v>107</v>
      </c>
      <c r="D28" s="48"/>
      <c r="E28" s="47" t="s">
        <v>106</v>
      </c>
      <c r="F28" s="64"/>
      <c r="G28" s="93" t="s">
        <v>116</v>
      </c>
      <c r="H28" s="53"/>
      <c r="I28" s="53"/>
      <c r="J28" s="53"/>
      <c r="K28" s="53"/>
      <c r="L28" s="53"/>
      <c r="M28" s="53"/>
      <c r="N28" s="94"/>
    </row>
    <row r="29" spans="2:14" ht="15" thickBot="1" x14ac:dyDescent="0.35">
      <c r="B29" s="49"/>
      <c r="C29" s="50"/>
      <c r="D29" s="51"/>
      <c r="E29" s="50"/>
      <c r="F29" s="65"/>
      <c r="G29" s="95"/>
      <c r="H29" s="96"/>
      <c r="I29" s="96"/>
      <c r="J29" s="96"/>
      <c r="K29" s="96"/>
      <c r="L29" s="96"/>
      <c r="M29" s="96"/>
      <c r="N29" s="97"/>
    </row>
    <row r="30" spans="2:14" x14ac:dyDescent="0.3">
      <c r="B30" s="6">
        <v>1</v>
      </c>
      <c r="C30" s="37"/>
      <c r="D30" s="37"/>
      <c r="E30" s="35"/>
      <c r="F30" s="36"/>
      <c r="G30" s="88"/>
      <c r="H30" s="87"/>
      <c r="I30" s="87"/>
      <c r="J30" s="87"/>
      <c r="K30" s="87"/>
      <c r="L30" s="87"/>
      <c r="M30" s="87"/>
      <c r="N30" s="89"/>
    </row>
    <row r="31" spans="2:14" x14ac:dyDescent="0.3">
      <c r="B31" s="7">
        <v>2</v>
      </c>
      <c r="C31" s="38"/>
      <c r="D31" s="38"/>
      <c r="E31" s="20"/>
      <c r="F31" s="23"/>
      <c r="G31" s="88"/>
      <c r="H31" s="87"/>
      <c r="I31" s="87"/>
      <c r="J31" s="87"/>
      <c r="K31" s="87"/>
      <c r="L31" s="87"/>
      <c r="M31" s="87"/>
      <c r="N31" s="89"/>
    </row>
    <row r="32" spans="2:14" x14ac:dyDescent="0.3">
      <c r="B32" s="7">
        <f>B31+1</f>
        <v>3</v>
      </c>
      <c r="C32" s="38"/>
      <c r="D32" s="38"/>
      <c r="E32" s="20"/>
      <c r="F32" s="23"/>
      <c r="G32" s="88"/>
      <c r="H32" s="87"/>
      <c r="I32" s="87"/>
      <c r="J32" s="87"/>
      <c r="K32" s="87"/>
      <c r="L32" s="87"/>
      <c r="M32" s="87"/>
      <c r="N32" s="89"/>
    </row>
    <row r="33" spans="2:14" ht="15" thickBot="1" x14ac:dyDescent="0.35">
      <c r="B33" s="77">
        <f>B32+1</f>
        <v>4</v>
      </c>
      <c r="C33" s="78"/>
      <c r="D33" s="78"/>
      <c r="E33" s="22"/>
      <c r="F33" s="45"/>
      <c r="G33" s="90"/>
      <c r="H33" s="91"/>
      <c r="I33" s="91"/>
      <c r="J33" s="91"/>
      <c r="K33" s="91"/>
      <c r="L33" s="91"/>
      <c r="M33" s="91"/>
      <c r="N33" s="92"/>
    </row>
  </sheetData>
  <mergeCells count="78">
    <mergeCell ref="G30:N33"/>
    <mergeCell ref="G28:N29"/>
    <mergeCell ref="B1:N2"/>
    <mergeCell ref="C31:D31"/>
    <mergeCell ref="E31:F31"/>
    <mergeCell ref="C32:D32"/>
    <mergeCell ref="E32:F32"/>
    <mergeCell ref="C33:D33"/>
    <mergeCell ref="E33:F33"/>
    <mergeCell ref="B28:B29"/>
    <mergeCell ref="C28:D29"/>
    <mergeCell ref="E28:F29"/>
    <mergeCell ref="C30:D30"/>
    <mergeCell ref="E30:F30"/>
    <mergeCell ref="M26:N26"/>
    <mergeCell ref="L5:M5"/>
    <mergeCell ref="B5:D5"/>
    <mergeCell ref="E5:K5"/>
    <mergeCell ref="C27:D27"/>
    <mergeCell ref="E27:F27"/>
    <mergeCell ref="H27:J27"/>
    <mergeCell ref="K27:L27"/>
    <mergeCell ref="M27:N27"/>
    <mergeCell ref="E23:F23"/>
    <mergeCell ref="E24:F24"/>
    <mergeCell ref="L3:M3"/>
    <mergeCell ref="L4:M4"/>
    <mergeCell ref="E25:F25"/>
    <mergeCell ref="H21:J21"/>
    <mergeCell ref="H22:J22"/>
    <mergeCell ref="H23:J23"/>
    <mergeCell ref="H24:J24"/>
    <mergeCell ref="H25:J25"/>
    <mergeCell ref="M19:N20"/>
    <mergeCell ref="K19:L20"/>
    <mergeCell ref="K21:L21"/>
    <mergeCell ref="K22:L22"/>
    <mergeCell ref="K23:L23"/>
    <mergeCell ref="K24:L24"/>
    <mergeCell ref="B6:B7"/>
    <mergeCell ref="D6:D7"/>
    <mergeCell ref="E6:E7"/>
    <mergeCell ref="F6:F7"/>
    <mergeCell ref="G6:G7"/>
    <mergeCell ref="H6:H7"/>
    <mergeCell ref="J6:J7"/>
    <mergeCell ref="K6:K7"/>
    <mergeCell ref="M6:M7"/>
    <mergeCell ref="I6:I7"/>
    <mergeCell ref="N6:N7"/>
    <mergeCell ref="B3:D3"/>
    <mergeCell ref="B4:D4"/>
    <mergeCell ref="E3:K3"/>
    <mergeCell ref="E4:K4"/>
    <mergeCell ref="B19:B20"/>
    <mergeCell ref="C23:D23"/>
    <mergeCell ref="C24:D24"/>
    <mergeCell ref="E19:F20"/>
    <mergeCell ref="G19:G20"/>
    <mergeCell ref="H19:J20"/>
    <mergeCell ref="E21:F21"/>
    <mergeCell ref="M21:N21"/>
    <mergeCell ref="M22:N22"/>
    <mergeCell ref="M23:N23"/>
    <mergeCell ref="M24:N24"/>
    <mergeCell ref="C25:D25"/>
    <mergeCell ref="C26:D26"/>
    <mergeCell ref="E26:F26"/>
    <mergeCell ref="H26:J26"/>
    <mergeCell ref="K25:L25"/>
    <mergeCell ref="K26:L26"/>
    <mergeCell ref="M25:N25"/>
    <mergeCell ref="C6:C7"/>
    <mergeCell ref="L6:L7"/>
    <mergeCell ref="C19:D20"/>
    <mergeCell ref="C21:D21"/>
    <mergeCell ref="C22:D22"/>
    <mergeCell ref="E22:F22"/>
  </mergeCells>
  <printOptions horizontalCentered="1"/>
  <pageMargins left="0.51181102362204722" right="0.51181102362204722" top="0.74803149606299213" bottom="0.74803149606299213" header="0.31496062992125984" footer="0.31496062992125984"/>
  <pageSetup paperSize="9" scale="76" orientation="landscape"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48D9B219-1450-4356-B298-63275ADD31BF}">
          <x14:formula1>
            <xm:f>'Data Bank'!$B$2:$B$35</xm:f>
          </x14:formula1>
          <xm:sqref>D16:D18</xm:sqref>
        </x14:dataValidation>
        <x14:dataValidation type="list" allowBlank="1" showInputMessage="1" showErrorMessage="1" xr:uid="{AEBB503E-CE58-442E-B7C7-0FF77E9A1200}">
          <x14:formula1>
            <xm:f>'Data Bank'!$C$2:$C$6</xm:f>
          </x14:formula1>
          <xm:sqref>F8:F18</xm:sqref>
        </x14:dataValidation>
        <x14:dataValidation type="list" allowBlank="1" showInputMessage="1" showErrorMessage="1" xr:uid="{E0D7FDF0-AA44-481C-BA14-EA71B4650B76}">
          <x14:formula1>
            <xm:f>'Data Bank'!$D$2:$D$8</xm:f>
          </x14:formula1>
          <xm:sqref>E8:E18</xm:sqref>
        </x14:dataValidation>
        <x14:dataValidation type="list" allowBlank="1" showInputMessage="1" showErrorMessage="1" xr:uid="{334F094A-6822-4FAF-A30B-50922BE45B15}">
          <x14:formula1>
            <xm:f>'Data Bank'!$B$2:$B$36</xm:f>
          </x14:formula1>
          <xm:sqref>D8:D15</xm:sqref>
        </x14:dataValidation>
        <x14:dataValidation type="list" allowBlank="1" showInputMessage="1" showErrorMessage="1" xr:uid="{4AE8DE36-8C08-4952-B853-7419E609A037}">
          <x14:formula1>
            <xm:f>'Data Bank'!$F$2:$F$4</xm:f>
          </x14:formula1>
          <xm:sqref>N4</xm:sqref>
        </x14:dataValidation>
        <x14:dataValidation type="list" allowBlank="1" showInputMessage="1" showErrorMessage="1" xr:uid="{84D1AE63-5739-4E46-A34E-11DA506FB374}">
          <x14:formula1>
            <xm:f>'Data Bank'!$G$2:$G$6</xm:f>
          </x14:formula1>
          <xm:sqref>E3:K3</xm:sqref>
        </x14:dataValidation>
        <x14:dataValidation type="list" allowBlank="1" showInputMessage="1" showErrorMessage="1" xr:uid="{166F91AD-6A49-4334-8613-8BB8DD6B76E0}">
          <x14:formula1>
            <xm:f>'Data Bank'!$H$2:$H$10</xm:f>
          </x14:formula1>
          <xm:sqref>H21:J27</xm:sqref>
        </x14:dataValidation>
        <x14:dataValidation type="list" allowBlank="1" showInputMessage="1" showErrorMessage="1" xr:uid="{B9BFDEED-3DD2-4BDD-A879-D477BC4C8D12}">
          <x14:formula1>
            <xm:f>'Data Bank'!$I$2:$I$9</xm:f>
          </x14:formula1>
          <xm:sqref>C21:D27</xm:sqref>
        </x14:dataValidation>
        <x14:dataValidation type="list" allowBlank="1" showInputMessage="1" showErrorMessage="1" xr:uid="{6B3EE194-597C-4F02-BE89-A5E221278696}">
          <x14:formula1>
            <xm:f>'Data Bank'!$J$2:$J$3</xm:f>
          </x14:formula1>
          <xm:sqref>E30:F33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D70F6-62B0-46C3-A2BA-3B7D79A3B349}">
  <dimension ref="B1:J36"/>
  <sheetViews>
    <sheetView workbookViewId="0">
      <selection activeCell="I10" sqref="I10"/>
    </sheetView>
  </sheetViews>
  <sheetFormatPr defaultRowHeight="14.4" x14ac:dyDescent="0.3"/>
  <cols>
    <col min="2" max="2" width="37.77734375" customWidth="1"/>
    <col min="5" max="5" width="12.5546875" customWidth="1"/>
    <col min="7" max="7" width="15.21875" customWidth="1"/>
    <col min="8" max="8" width="17.5546875" customWidth="1"/>
    <col min="9" max="9" width="23.33203125" customWidth="1"/>
  </cols>
  <sheetData>
    <row r="1" spans="2:10" x14ac:dyDescent="0.3">
      <c r="B1" s="18" t="s">
        <v>60</v>
      </c>
      <c r="C1" s="18" t="s">
        <v>28</v>
      </c>
      <c r="D1" s="19" t="s">
        <v>65</v>
      </c>
      <c r="E1" s="19"/>
      <c r="F1" s="18" t="s">
        <v>80</v>
      </c>
      <c r="G1" s="18" t="s">
        <v>84</v>
      </c>
      <c r="H1" s="18" t="s">
        <v>90</v>
      </c>
      <c r="I1" s="18" t="s">
        <v>100</v>
      </c>
      <c r="J1" s="18" t="s">
        <v>108</v>
      </c>
    </row>
    <row r="2" spans="2:10" x14ac:dyDescent="0.3">
      <c r="B2" t="s">
        <v>29</v>
      </c>
      <c r="C2" t="s">
        <v>61</v>
      </c>
      <c r="D2" t="s">
        <v>26</v>
      </c>
      <c r="E2" t="s">
        <v>70</v>
      </c>
      <c r="F2" t="s">
        <v>81</v>
      </c>
      <c r="G2" t="s">
        <v>89</v>
      </c>
      <c r="H2" t="s">
        <v>91</v>
      </c>
      <c r="I2" t="s">
        <v>12</v>
      </c>
      <c r="J2" t="s">
        <v>109</v>
      </c>
    </row>
    <row r="3" spans="2:10" x14ac:dyDescent="0.3">
      <c r="B3" t="s">
        <v>30</v>
      </c>
      <c r="C3" t="s">
        <v>62</v>
      </c>
      <c r="D3" t="s">
        <v>66</v>
      </c>
      <c r="E3" t="s">
        <v>71</v>
      </c>
      <c r="F3" t="s">
        <v>82</v>
      </c>
      <c r="G3" t="s">
        <v>85</v>
      </c>
      <c r="H3" t="s">
        <v>92</v>
      </c>
      <c r="I3" t="s">
        <v>13</v>
      </c>
      <c r="J3" t="s">
        <v>110</v>
      </c>
    </row>
    <row r="4" spans="2:10" x14ac:dyDescent="0.3">
      <c r="B4" t="s">
        <v>34</v>
      </c>
      <c r="C4" t="s">
        <v>16</v>
      </c>
      <c r="D4" t="s">
        <v>20</v>
      </c>
      <c r="E4" t="s">
        <v>72</v>
      </c>
      <c r="F4" t="s">
        <v>83</v>
      </c>
      <c r="G4" t="s">
        <v>86</v>
      </c>
      <c r="H4" t="s">
        <v>93</v>
      </c>
      <c r="I4" t="s">
        <v>101</v>
      </c>
    </row>
    <row r="5" spans="2:10" x14ac:dyDescent="0.3">
      <c r="B5" t="s">
        <v>31</v>
      </c>
      <c r="C5" t="s">
        <v>63</v>
      </c>
      <c r="D5" t="s">
        <v>27</v>
      </c>
      <c r="E5" t="s">
        <v>73</v>
      </c>
      <c r="G5" t="s">
        <v>87</v>
      </c>
      <c r="H5" t="s">
        <v>94</v>
      </c>
      <c r="I5" t="s">
        <v>102</v>
      </c>
    </row>
    <row r="6" spans="2:10" x14ac:dyDescent="0.3">
      <c r="B6" t="s">
        <v>40</v>
      </c>
      <c r="C6" t="s">
        <v>64</v>
      </c>
      <c r="D6" t="s">
        <v>67</v>
      </c>
      <c r="E6" t="s">
        <v>74</v>
      </c>
      <c r="G6" t="s">
        <v>88</v>
      </c>
      <c r="H6" t="s">
        <v>95</v>
      </c>
      <c r="I6" t="s">
        <v>103</v>
      </c>
    </row>
    <row r="7" spans="2:10" x14ac:dyDescent="0.3">
      <c r="B7" t="s">
        <v>41</v>
      </c>
      <c r="D7" t="s">
        <v>68</v>
      </c>
      <c r="E7" t="s">
        <v>75</v>
      </c>
      <c r="H7" t="s">
        <v>96</v>
      </c>
      <c r="I7" t="s">
        <v>104</v>
      </c>
    </row>
    <row r="8" spans="2:10" x14ac:dyDescent="0.3">
      <c r="B8" t="s">
        <v>47</v>
      </c>
      <c r="D8" t="s">
        <v>69</v>
      </c>
      <c r="E8" t="s">
        <v>76</v>
      </c>
      <c r="H8" t="s">
        <v>97</v>
      </c>
      <c r="I8" t="s">
        <v>105</v>
      </c>
    </row>
    <row r="9" spans="2:10" x14ac:dyDescent="0.3">
      <c r="B9" t="s">
        <v>32</v>
      </c>
      <c r="H9" t="s">
        <v>98</v>
      </c>
      <c r="I9" t="s">
        <v>111</v>
      </c>
    </row>
    <row r="10" spans="2:10" x14ac:dyDescent="0.3">
      <c r="B10" t="s">
        <v>33</v>
      </c>
      <c r="H10" t="s">
        <v>99</v>
      </c>
    </row>
    <row r="11" spans="2:10" x14ac:dyDescent="0.3">
      <c r="B11" t="s">
        <v>35</v>
      </c>
    </row>
    <row r="12" spans="2:10" x14ac:dyDescent="0.3">
      <c r="B12" t="s">
        <v>36</v>
      </c>
    </row>
    <row r="13" spans="2:10" x14ac:dyDescent="0.3">
      <c r="B13" t="s">
        <v>37</v>
      </c>
    </row>
    <row r="14" spans="2:10" x14ac:dyDescent="0.3">
      <c r="B14" t="s">
        <v>22</v>
      </c>
    </row>
    <row r="15" spans="2:10" x14ac:dyDescent="0.3">
      <c r="B15" t="s">
        <v>38</v>
      </c>
    </row>
    <row r="16" spans="2:10" x14ac:dyDescent="0.3">
      <c r="B16" t="s">
        <v>39</v>
      </c>
    </row>
    <row r="17" spans="2:2" x14ac:dyDescent="0.3">
      <c r="B17" t="s">
        <v>46</v>
      </c>
    </row>
    <row r="18" spans="2:2" x14ac:dyDescent="0.3">
      <c r="B18" t="s">
        <v>58</v>
      </c>
    </row>
    <row r="19" spans="2:2" x14ac:dyDescent="0.3">
      <c r="B19" t="s">
        <v>59</v>
      </c>
    </row>
    <row r="20" spans="2:2" x14ac:dyDescent="0.3">
      <c r="B20" t="s">
        <v>21</v>
      </c>
    </row>
    <row r="21" spans="2:2" x14ac:dyDescent="0.3">
      <c r="B21" t="s">
        <v>42</v>
      </c>
    </row>
    <row r="22" spans="2:2" x14ac:dyDescent="0.3">
      <c r="B22" t="s">
        <v>43</v>
      </c>
    </row>
    <row r="23" spans="2:2" x14ac:dyDescent="0.3">
      <c r="B23" t="s">
        <v>44</v>
      </c>
    </row>
    <row r="24" spans="2:2" x14ac:dyDescent="0.3">
      <c r="B24" t="s">
        <v>45</v>
      </c>
    </row>
    <row r="25" spans="2:2" x14ac:dyDescent="0.3">
      <c r="B25" t="s">
        <v>18</v>
      </c>
    </row>
    <row r="26" spans="2:2" x14ac:dyDescent="0.3">
      <c r="B26" t="s">
        <v>48</v>
      </c>
    </row>
    <row r="27" spans="2:2" x14ac:dyDescent="0.3">
      <c r="B27" t="s">
        <v>49</v>
      </c>
    </row>
    <row r="28" spans="2:2" x14ac:dyDescent="0.3">
      <c r="B28" t="s">
        <v>50</v>
      </c>
    </row>
    <row r="29" spans="2:2" x14ac:dyDescent="0.3">
      <c r="B29" t="s">
        <v>51</v>
      </c>
    </row>
    <row r="30" spans="2:2" x14ac:dyDescent="0.3">
      <c r="B30" t="s">
        <v>52</v>
      </c>
    </row>
    <row r="31" spans="2:2" x14ac:dyDescent="0.3">
      <c r="B31" t="s">
        <v>53</v>
      </c>
    </row>
    <row r="32" spans="2:2" x14ac:dyDescent="0.3">
      <c r="B32" t="s">
        <v>54</v>
      </c>
    </row>
    <row r="33" spans="2:2" x14ac:dyDescent="0.3">
      <c r="B33" t="s">
        <v>55</v>
      </c>
    </row>
    <row r="34" spans="2:2" x14ac:dyDescent="0.3">
      <c r="B34" t="s">
        <v>56</v>
      </c>
    </row>
    <row r="35" spans="2:2" x14ac:dyDescent="0.3">
      <c r="B35" t="s">
        <v>57</v>
      </c>
    </row>
    <row r="36" spans="2:2" x14ac:dyDescent="0.3">
      <c r="B36" t="s">
        <v>77</v>
      </c>
    </row>
  </sheetData>
  <mergeCells count="1"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20-2-26</vt:lpstr>
      <vt:lpstr>Data Bank</vt:lpstr>
      <vt:lpstr>'20-2-26'!Print_Area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Shahab Naveed  Rasheed</cp:lastModifiedBy>
  <cp:lastPrinted>2026-02-20T12:51:37Z</cp:lastPrinted>
  <dcterms:created xsi:type="dcterms:W3CDTF">2015-06-05T18:17:20Z</dcterms:created>
  <dcterms:modified xsi:type="dcterms:W3CDTF">2026-02-20T14:16:07Z</dcterms:modified>
</cp:coreProperties>
</file>